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848" windowHeight="90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<sst xmlns="http://schemas.openxmlformats.org/spreadsheetml/2006/main" count="26" uniqueCount="8">
  <si>
    <t xml:space="preserve">Geschlecht </t>
  </si>
  <si>
    <t>Kaum</t>
  </si>
  <si>
    <t>etwas</t>
  </si>
  <si>
    <t>stark</t>
  </si>
  <si>
    <t xml:space="preserve">Frau </t>
  </si>
  <si>
    <t>Mann</t>
  </si>
  <si>
    <t>Relative Haeufigkeit</t>
  </si>
  <si>
    <t>Bedingte Relative Haeufigkeit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</si>
</sst>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0">
    <font>
      <sz val="11"/>
      <color theme="1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9C000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2" borderId="3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Frau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Sheet1!$B$2:$D$2</c:f>
              <c:strCache>
                <c:ptCount val="3"/>
                <c:pt idx="0" c:formatCode="General">
                  <c:v>Kaum</c:v>
                </c:pt>
                <c:pt idx="1" c:formatCode="General">
                  <c:v>etwas</c:v>
                </c:pt>
                <c:pt idx="2" c:formatCode="General">
                  <c:v>stark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68</c:v>
                </c:pt>
                <c:pt idx="1">
                  <c:v>130</c:v>
                </c:pt>
                <c:pt idx="2">
                  <c:v>84</c:v>
                </c:pt>
              </c:numCache>
            </c:numRef>
          </c:val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Mann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Sheet1!$B$2:$D$2</c:f>
              <c:strCache>
                <c:ptCount val="3"/>
                <c:pt idx="0" c:formatCode="General">
                  <c:v>Kaum</c:v>
                </c:pt>
                <c:pt idx="1" c:formatCode="General">
                  <c:v>etwas</c:v>
                </c:pt>
                <c:pt idx="2" c:formatCode="General">
                  <c:v>stark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137</c:v>
                </c:pt>
                <c:pt idx="1">
                  <c:v>72</c:v>
                </c:pt>
                <c:pt idx="2">
                  <c:v>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91234"/>
        <c:axId val="279503605"/>
      </c:barChart>
      <c:catAx>
        <c:axId val="2959123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9503605"/>
        <c:crosses val="autoZero"/>
        <c:auto val="1"/>
        <c:lblAlgn val="ctr"/>
        <c:lblOffset val="100"/>
        <c:noMultiLvlLbl val="0"/>
      </c:catAx>
      <c:valAx>
        <c:axId val="27950360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912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ja-JP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Sheet1!$A$11</c:f>
              <c:strCache>
                <c:ptCount val="1"/>
                <c:pt idx="0">
                  <c:v>Frau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Sheet1!$B$10:$D$10</c:f>
              <c:strCache>
                <c:ptCount val="3"/>
                <c:pt idx="0" c:formatCode="General">
                  <c:v>Kaum</c:v>
                </c:pt>
                <c:pt idx="1" c:formatCode="General">
                  <c:v>etwas</c:v>
                </c:pt>
                <c:pt idx="2" c:formatCode="General">
                  <c:v>stark</c:v>
                </c:pt>
              </c:strCache>
            </c:strRef>
          </c:cat>
          <c:val>
            <c:numRef>
              <c:f>Sheet1!$B$11:$D$11</c:f>
              <c:numCache>
                <c:formatCode>General</c:formatCode>
                <c:ptCount val="3"/>
                <c:pt idx="0">
                  <c:v>0.131529</c:v>
                </c:pt>
                <c:pt idx="1">
                  <c:v>0.251451</c:v>
                </c:pt>
                <c:pt idx="2">
                  <c:v>0.162476</c:v>
                </c:pt>
              </c:numCache>
            </c:numRef>
          </c:val>
        </c:ser>
        <c:ser>
          <c:idx val="1"/>
          <c:order val="1"/>
          <c:tx>
            <c:strRef>
              <c:f>Sheet1!$A$12</c:f>
              <c:strCache>
                <c:ptCount val="1"/>
                <c:pt idx="0">
                  <c:v>Mann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Sheet1!$B$10:$D$10</c:f>
              <c:strCache>
                <c:ptCount val="3"/>
                <c:pt idx="0" c:formatCode="General">
                  <c:v>Kaum</c:v>
                </c:pt>
                <c:pt idx="1" c:formatCode="General">
                  <c:v>etwas</c:v>
                </c:pt>
                <c:pt idx="2" c:formatCode="General">
                  <c:v>stark</c:v>
                </c:pt>
              </c:strCache>
            </c:strRef>
          </c:cat>
          <c:val>
            <c:numRef>
              <c:f>Sheet1!$B$12:$D$12</c:f>
              <c:numCache>
                <c:formatCode>General</c:formatCode>
                <c:ptCount val="3"/>
                <c:pt idx="0">
                  <c:v>0.264991</c:v>
                </c:pt>
                <c:pt idx="1">
                  <c:v>0.139265</c:v>
                </c:pt>
                <c:pt idx="2">
                  <c:v>0.050291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0082322"/>
        <c:axId val="998250639"/>
      </c:barChart>
      <c:catAx>
        <c:axId val="67008232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8250639"/>
        <c:crosses val="autoZero"/>
        <c:auto val="1"/>
        <c:lblAlgn val="ctr"/>
        <c:lblOffset val="100"/>
        <c:noMultiLvlLbl val="0"/>
      </c:catAx>
      <c:valAx>
        <c:axId val="99825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00823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ja-JP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820420</xdr:colOff>
      <xdr:row>34</xdr:row>
      <xdr:rowOff>114300</xdr:rowOff>
    </xdr:from>
    <xdr:to>
      <xdr:col>6</xdr:col>
      <xdr:colOff>279400</xdr:colOff>
      <xdr:row>51</xdr:row>
      <xdr:rowOff>7620</xdr:rowOff>
    </xdr:to>
    <xdr:graphicFrame>
      <xdr:nvGraphicFramePr>
        <xdr:cNvPr id="2" name="グラフ 1"/>
        <xdr:cNvGraphicFramePr/>
      </xdr:nvGraphicFramePr>
      <xdr:xfrm>
        <a:off x="820420" y="581406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972820</xdr:colOff>
      <xdr:row>24</xdr:row>
      <xdr:rowOff>134620</xdr:rowOff>
    </xdr:from>
    <xdr:to>
      <xdr:col>6</xdr:col>
      <xdr:colOff>431800</xdr:colOff>
      <xdr:row>41</xdr:row>
      <xdr:rowOff>27940</xdr:rowOff>
    </xdr:to>
    <xdr:graphicFrame>
      <xdr:nvGraphicFramePr>
        <xdr:cNvPr id="3" name="グラフ 2"/>
        <xdr:cNvGraphicFramePr/>
      </xdr:nvGraphicFramePr>
      <xdr:xfrm>
        <a:off x="972820" y="415798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4"/>
  <sheetViews>
    <sheetView tabSelected="1" topLeftCell="A9" workbookViewId="0">
      <selection activeCell="A18" sqref="A18"/>
    </sheetView>
  </sheetViews>
  <sheetFormatPr defaultColWidth="8.88888888888889" defaultRowHeight="13.2" outlineLevelCol="4"/>
  <cols>
    <col min="1" max="1" width="27" customWidth="1"/>
    <col min="2" max="5" width="9.66666666666667"/>
  </cols>
  <sheetData>
    <row r="2" spans="1:4">
      <c r="A2" t="s">
        <v>0</v>
      </c>
      <c r="B2" t="s">
        <v>1</v>
      </c>
      <c r="C2" t="s">
        <v>2</v>
      </c>
      <c r="D2" t="s">
        <v>3</v>
      </c>
    </row>
    <row r="3" spans="1:5">
      <c r="A3" t="s">
        <v>4</v>
      </c>
      <c r="B3">
        <v>68</v>
      </c>
      <c r="C3">
        <v>130</v>
      </c>
      <c r="D3">
        <v>84</v>
      </c>
      <c r="E3">
        <f>SUM(B3:D3)</f>
        <v>282</v>
      </c>
    </row>
    <row r="4" spans="1:5">
      <c r="A4" t="s">
        <v>5</v>
      </c>
      <c r="B4">
        <v>137</v>
      </c>
      <c r="C4">
        <v>72</v>
      </c>
      <c r="D4">
        <v>26</v>
      </c>
      <c r="E4">
        <f>SUM(B4:D4)</f>
        <v>235</v>
      </c>
    </row>
    <row r="5" spans="2:5">
      <c r="B5">
        <f>SUM(B3:B4)</f>
        <v>205</v>
      </c>
      <c r="C5">
        <f>SUM(C3:C4)</f>
        <v>202</v>
      </c>
      <c r="D5">
        <f>SUM(D3:D4)</f>
        <v>110</v>
      </c>
      <c r="E5">
        <f>SUM(E3:E4)</f>
        <v>517</v>
      </c>
    </row>
    <row r="6" spans="1:1">
      <c r="A6" t="s">
        <v>6</v>
      </c>
    </row>
    <row r="10" spans="1:4">
      <c r="A10" t="s">
        <v>0</v>
      </c>
      <c r="B10" t="s">
        <v>1</v>
      </c>
      <c r="C10" t="s">
        <v>2</v>
      </c>
      <c r="D10" t="s">
        <v>3</v>
      </c>
    </row>
    <row r="11" spans="1:5">
      <c r="A11" t="s">
        <v>4</v>
      </c>
      <c r="B11">
        <f>ROUNDUP(68/517,6)</f>
        <v>0.131529</v>
      </c>
      <c r="C11">
        <f>ROUNDUP(130/517,6)</f>
        <v>0.251451</v>
      </c>
      <c r="D11">
        <f>ROUNDUP(84/517,6)</f>
        <v>0.162476</v>
      </c>
      <c r="E11">
        <f>SUM(B11:D11)</f>
        <v>0.545456</v>
      </c>
    </row>
    <row r="12" spans="1:5">
      <c r="A12" t="s">
        <v>5</v>
      </c>
      <c r="B12">
        <f>ROUNDUP(137/517,6)</f>
        <v>0.264991</v>
      </c>
      <c r="C12">
        <f>ROUNDUP(72/517,6)</f>
        <v>0.139265</v>
      </c>
      <c r="D12">
        <f>ROUNDUP(26/517,6)</f>
        <v>0.050291</v>
      </c>
      <c r="E12">
        <f>SUM(B12:D12)</f>
        <v>0.454547</v>
      </c>
    </row>
    <row r="13" spans="2:5">
      <c r="B13">
        <f>SUM(B11:B12)</f>
        <v>0.39652</v>
      </c>
      <c r="C13">
        <f>SUM(C11:C12)</f>
        <v>0.390716</v>
      </c>
      <c r="D13">
        <f>SUM(D11:D12)</f>
        <v>0.212767</v>
      </c>
      <c r="E13">
        <v>1</v>
      </c>
    </row>
    <row r="16" spans="1:1">
      <c r="A16" t="s">
        <v>7</v>
      </c>
    </row>
    <row r="17" spans="1:4">
      <c r="A17" t="s">
        <v>0</v>
      </c>
      <c r="B17" t="s">
        <v>1</v>
      </c>
      <c r="C17" t="s">
        <v>2</v>
      </c>
      <c r="D17" t="s">
        <v>3</v>
      </c>
    </row>
    <row r="18" spans="1:5">
      <c r="A18" t="s">
        <v>4</v>
      </c>
      <c r="B18">
        <f>ROUNDUP(68/282,6)</f>
        <v>0.241135</v>
      </c>
      <c r="C18">
        <f>ROUNDUP(130/282,6)</f>
        <v>0.460993</v>
      </c>
      <c r="D18">
        <f>ROUNDUP(84/282,6)</f>
        <v>0.297873</v>
      </c>
      <c r="E18">
        <v>1</v>
      </c>
    </row>
    <row r="19" spans="1:5">
      <c r="A19" t="s">
        <v>5</v>
      </c>
      <c r="B19">
        <f>ROUNDUP(137/235,6)</f>
        <v>0.582979</v>
      </c>
      <c r="C19">
        <f>ROUNDUP(72/235,6)</f>
        <v>0.306383</v>
      </c>
      <c r="D19">
        <f>ROUNDUP(26/235,6)</f>
        <v>0.110639</v>
      </c>
      <c r="E19">
        <v>1</v>
      </c>
    </row>
    <row r="21" spans="1:4">
      <c r="A21" t="s">
        <v>0</v>
      </c>
      <c r="B21" t="s">
        <v>1</v>
      </c>
      <c r="C21" t="s">
        <v>2</v>
      </c>
      <c r="D21" t="s">
        <v>3</v>
      </c>
    </row>
    <row r="22" spans="1:4">
      <c r="A22" t="s">
        <v>4</v>
      </c>
      <c r="B22">
        <f>ROUNDUP(68/205,6)</f>
        <v>0.331708</v>
      </c>
      <c r="C22">
        <f>ROUNDUP(130/202,6)</f>
        <v>0.643565</v>
      </c>
      <c r="D22">
        <f>ROUNDUP(84/110,6)</f>
        <v>0.763637</v>
      </c>
    </row>
    <row r="23" spans="1:4">
      <c r="A23" t="s">
        <v>5</v>
      </c>
      <c r="B23">
        <f>ROUNDUP(137/205,6)</f>
        <v>0.668293</v>
      </c>
      <c r="C23">
        <f>ROUNDUP(72/202,6)</f>
        <v>0.356436</v>
      </c>
      <c r="D23">
        <f>ROUNDUP(26/110,6)</f>
        <v>0.236364</v>
      </c>
    </row>
    <row r="24" spans="2:4">
      <c r="B24">
        <v>1</v>
      </c>
      <c r="C24">
        <v>1</v>
      </c>
      <c r="D24">
        <v>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2026-06-09T05:58:49Z</dcterms:created>
  <dcterms:modified xsi:type="dcterms:W3CDTF">2026-06-09T06:33:43Z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